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moMjNWFSy0xASt/YF1yZtNLhunYV2eRusWwSddW+9Y="/>
    </ext>
  </extLst>
</workbook>
</file>

<file path=xl/sharedStrings.xml><?xml version="1.0" encoding="utf-8"?>
<sst xmlns="http://schemas.openxmlformats.org/spreadsheetml/2006/main" count="66" uniqueCount="44">
  <si>
    <t>PCBWay Bom Quotation, Product No.:***</t>
  </si>
  <si>
    <t>Item #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</si>
  <si>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Designator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</si>
  <si>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</si>
  <si>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</si>
  <si>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</si>
  <si>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</si>
  <si>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Package/Footprint</t>
    </r>
  </si>
  <si>
    <t>Mounting Type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</si>
  <si>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Unit Price(5 sets)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</si>
  <si>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Total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</si>
  <si>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Delivery Time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</si>
  <si>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Actual Purchase Mfg Part #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</si>
  <si>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PCBWay Note</t>
    </r>
  </si>
  <si>
    <t>Customer Reply</t>
  </si>
  <si>
    <t>PCBWay Update</t>
  </si>
  <si>
    <t>J1, J2</t>
  </si>
  <si>
    <t>XFCN</t>
  </si>
  <si>
    <t/>
  </si>
  <si>
    <t>Conn_01x20_Socket『 』Generic connector, single row, 01x20, script generated</t>
  </si>
  <si>
    <t>PinSocket_1x20_P2.54mm_Vertical</t>
  </si>
  <si>
    <t>tht</t>
  </si>
  <si>
    <t>PM254V-11-20-H85</t>
  </si>
  <si>
    <r>
      <rPr>
        <rFont val="Arial"/>
        <color rgb="FFFF0000"/>
        <sz val="10.0"/>
      </rPr>
      <t>female pin header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1*20pin 2.54mm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made in China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please confirm.</t>
    </r>
  </si>
  <si>
    <t>J3</t>
  </si>
  <si>
    <t>Conn_01x06_Socket『 』Generic connector, single row, 01x06, script generated</t>
  </si>
  <si>
    <t>PinSocket_1x06_P2.54mm_Vertical</t>
  </si>
  <si>
    <t>PM254V-11-06-H85</t>
  </si>
  <si>
    <r>
      <rPr>
        <rFont val="Arial"/>
        <color rgb="FFFF0000"/>
        <sz val="10.0"/>
      </rPr>
      <t>female pin header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1*6pin 2.54mm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made in China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please confirm.</t>
    </r>
  </si>
  <si>
    <t>J4</t>
  </si>
  <si>
    <t>Conn_01x08_Socket『 』Generic connector, single row, 01x08, script generated</t>
  </si>
  <si>
    <t>PinSocket_1x08_P2.54mm_Vertical</t>
  </si>
  <si>
    <t>PM254V-11-08-H85</t>
  </si>
  <si>
    <r>
      <rPr>
        <rFont val="Arial"/>
        <color rgb="FFFF0000"/>
        <sz val="10.0"/>
      </rPr>
      <t>female pin header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1*8pin 2.54mm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made in China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please confirm.</t>
    </r>
  </si>
  <si>
    <t>J5</t>
  </si>
  <si>
    <t>Conn_01x03_Socket『 』Generic connector, single row, 01x03, script generated</t>
  </si>
  <si>
    <t>PinSocket_1x03_P2.54mm_Vertical</t>
  </si>
  <si>
    <t>PM254V-11-03-H85</t>
  </si>
  <si>
    <r>
      <rPr>
        <rFont val="Arial"/>
        <color rgb="FFFF0000"/>
        <sz val="10.0"/>
      </rPr>
      <t>female pin header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1*3pin 2.54mm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made in China</t>
    </r>
    <r>
      <rPr>
        <rFont val="宋体"/>
        <color rgb="FFFF0000"/>
        <sz val="10.0"/>
      </rPr>
      <t>，</t>
    </r>
    <r>
      <rPr>
        <rFont val="Arial"/>
        <color rgb="FFFF0000"/>
        <sz val="10.0"/>
      </rPr>
      <t>please confirm.</t>
    </r>
  </si>
  <si>
    <t>Component Cost</t>
  </si>
  <si>
    <t>Assembly Cost</t>
  </si>
  <si>
    <t>PCB Cost</t>
  </si>
  <si>
    <t>V2 Member 2% off</t>
  </si>
  <si>
    <t>All Total 5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</si>
</sst>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0.000"/>
    <numFmt numFmtId="165" formatCode="\$0.00"/>
  </numFmts>
  <fonts count="8">
    <font>
      <sz val="12.0"/>
      <color rgb="FF000000"/>
      <name val="SimSun"/>
      <scheme val="minor"/>
    </font>
    <font>
      <b/>
      <sz val="11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1"/>
    </xf>
    <xf borderId="4" fillId="0" fontId="5" numFmtId="164" xfId="0" applyAlignment="1" applyBorder="1" applyFont="1" applyNumberForma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1"/>
    </xf>
    <xf borderId="4" fillId="0" fontId="7" numFmtId="165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15049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10.22"/>
    <col customWidth="1" min="3" max="3" width="5.33"/>
    <col customWidth="1" min="4" max="4" width="12.11"/>
    <col customWidth="1" min="5" max="5" width="18.33"/>
    <col customWidth="1" min="6" max="6" width="50.0"/>
    <col customWidth="1" min="7" max="7" width="20.22"/>
    <col customWidth="1" min="8" max="8" width="16.0"/>
    <col customWidth="1" min="9" max="9" width="18.0"/>
    <col customWidth="1" min="10" max="10" width="12.0"/>
    <col customWidth="1" min="11" max="11" width="16.0"/>
    <col customWidth="1" min="12" max="12" width="26.0"/>
    <col customWidth="1" min="13" max="15" width="14.0"/>
    <col customWidth="1" min="16" max="16" width="20.67"/>
    <col customWidth="1" min="17" max="35" width="9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5.5" customHeight="1">
      <c r="A2" s="5" t="s">
        <v>1</v>
      </c>
      <c r="B2" s="6" t="s">
        <v>2</v>
      </c>
      <c r="C2" s="6" t="s">
        <v>3</v>
      </c>
      <c r="D2" s="5" t="s">
        <v>4</v>
      </c>
      <c r="E2" s="6" t="s">
        <v>5</v>
      </c>
      <c r="F2" s="5" t="s">
        <v>6</v>
      </c>
      <c r="G2" s="6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63.0" customHeight="1">
      <c r="A3" s="7">
        <v>1.0</v>
      </c>
      <c r="B3" s="7" t="s">
        <v>16</v>
      </c>
      <c r="C3" s="7">
        <v>2.0</v>
      </c>
      <c r="D3" s="7" t="s">
        <v>17</v>
      </c>
      <c r="E3" s="7" t="s">
        <v>18</v>
      </c>
      <c r="F3" s="8" t="s">
        <v>19</v>
      </c>
      <c r="G3" s="7" t="s">
        <v>20</v>
      </c>
      <c r="H3" s="8" t="s">
        <v>21</v>
      </c>
      <c r="I3" s="9">
        <v>0.411</v>
      </c>
      <c r="J3" s="9">
        <f t="shared" ref="J3:J6" si="1">C3*I3*5</f>
        <v>4.11</v>
      </c>
      <c r="K3" s="7" t="s">
        <v>18</v>
      </c>
      <c r="L3" s="10" t="s">
        <v>22</v>
      </c>
      <c r="M3" s="11" t="s">
        <v>23</v>
      </c>
      <c r="N3" s="7" t="s">
        <v>18</v>
      </c>
      <c r="O3" s="7" t="s">
        <v>18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63.0" customHeight="1">
      <c r="A4" s="7">
        <v>2.0</v>
      </c>
      <c r="B4" s="7" t="s">
        <v>24</v>
      </c>
      <c r="C4" s="7">
        <v>1.0</v>
      </c>
      <c r="D4" s="7" t="s">
        <v>17</v>
      </c>
      <c r="E4" s="7" t="s">
        <v>18</v>
      </c>
      <c r="F4" s="8" t="s">
        <v>25</v>
      </c>
      <c r="G4" s="7" t="s">
        <v>26</v>
      </c>
      <c r="H4" s="8" t="s">
        <v>21</v>
      </c>
      <c r="I4" s="9">
        <v>0.177</v>
      </c>
      <c r="J4" s="9">
        <f t="shared" si="1"/>
        <v>0.885</v>
      </c>
      <c r="K4" s="7" t="s">
        <v>18</v>
      </c>
      <c r="L4" s="10" t="s">
        <v>27</v>
      </c>
      <c r="M4" s="11" t="s">
        <v>28</v>
      </c>
      <c r="N4" s="7" t="s">
        <v>18</v>
      </c>
      <c r="O4" s="7" t="s">
        <v>18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63.0" customHeight="1">
      <c r="A5" s="7">
        <v>3.0</v>
      </c>
      <c r="B5" s="7" t="s">
        <v>29</v>
      </c>
      <c r="C5" s="7">
        <v>1.0</v>
      </c>
      <c r="D5" s="7" t="s">
        <v>17</v>
      </c>
      <c r="E5" s="7" t="s">
        <v>18</v>
      </c>
      <c r="F5" s="8" t="s">
        <v>30</v>
      </c>
      <c r="G5" s="7" t="s">
        <v>31</v>
      </c>
      <c r="H5" s="8" t="s">
        <v>21</v>
      </c>
      <c r="I5" s="9">
        <v>0.147</v>
      </c>
      <c r="J5" s="9">
        <f t="shared" si="1"/>
        <v>0.735</v>
      </c>
      <c r="K5" s="7" t="s">
        <v>18</v>
      </c>
      <c r="L5" s="10" t="s">
        <v>32</v>
      </c>
      <c r="M5" s="11" t="s">
        <v>33</v>
      </c>
      <c r="N5" s="7" t="s">
        <v>18</v>
      </c>
      <c r="O5" s="7" t="s">
        <v>18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63.0" customHeight="1">
      <c r="A6" s="7">
        <v>4.0</v>
      </c>
      <c r="B6" s="7" t="s">
        <v>34</v>
      </c>
      <c r="C6" s="7">
        <v>1.0</v>
      </c>
      <c r="D6" s="7" t="s">
        <v>17</v>
      </c>
      <c r="E6" s="7" t="s">
        <v>18</v>
      </c>
      <c r="F6" s="8" t="s">
        <v>35</v>
      </c>
      <c r="G6" s="7" t="s">
        <v>36</v>
      </c>
      <c r="H6" s="8" t="s">
        <v>21</v>
      </c>
      <c r="I6" s="9">
        <v>0.148</v>
      </c>
      <c r="J6" s="9">
        <f t="shared" si="1"/>
        <v>0.74</v>
      </c>
      <c r="K6" s="7" t="s">
        <v>18</v>
      </c>
      <c r="L6" s="10" t="s">
        <v>37</v>
      </c>
      <c r="M6" s="11" t="s">
        <v>38</v>
      </c>
      <c r="N6" s="7" t="s">
        <v>18</v>
      </c>
      <c r="O6" s="7" t="s">
        <v>18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4"/>
      <c r="B7" s="4"/>
      <c r="C7" s="4"/>
      <c r="D7" s="4"/>
      <c r="E7" s="4"/>
      <c r="F7" s="4"/>
      <c r="G7" s="4"/>
      <c r="H7" s="4"/>
      <c r="I7" s="7" t="s">
        <v>39</v>
      </c>
      <c r="J7" s="12">
        <f>SUM(J3:J6)</f>
        <v>6.47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4"/>
      <c r="B8" s="4"/>
      <c r="C8" s="4"/>
      <c r="D8" s="4"/>
      <c r="E8" s="4"/>
      <c r="F8" s="4"/>
      <c r="G8" s="4"/>
      <c r="H8" s="4"/>
      <c r="I8" s="7" t="s">
        <v>40</v>
      </c>
      <c r="J8" s="12">
        <v>29.0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4"/>
      <c r="B9" s="4"/>
      <c r="C9" s="4"/>
      <c r="D9" s="4"/>
      <c r="E9" s="4"/>
      <c r="F9" s="4"/>
      <c r="G9" s="4"/>
      <c r="H9" s="4"/>
      <c r="I9" s="7" t="s">
        <v>41</v>
      </c>
      <c r="J9" s="12">
        <v>5.0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4"/>
      <c r="B10" s="4"/>
      <c r="C10" s="4"/>
      <c r="D10" s="4"/>
      <c r="E10" s="4"/>
      <c r="F10" s="4"/>
      <c r="G10" s="4"/>
      <c r="H10" s="4"/>
      <c r="I10" s="7" t="s">
        <v>42</v>
      </c>
      <c r="J10" s="12">
        <f>-0.02*SUM(J8:J9)</f>
        <v>-0.68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4"/>
      <c r="B11" s="4"/>
      <c r="C11" s="4"/>
      <c r="D11" s="4"/>
      <c r="E11" s="4"/>
      <c r="F11" s="4"/>
      <c r="G11" s="4"/>
      <c r="H11" s="4"/>
      <c r="I11" s="7" t="s">
        <v>43</v>
      </c>
      <c r="J11" s="12">
        <f>SUM(J7:J10)</f>
        <v>39.79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4" t="s">
        <v>18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mergeCells count="1">
    <mergeCell ref="A1:O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2020-08-21T01:41:33Z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  <property fmtid="{D5CDD505-2E9C-101B-9397-08002B2CF9AE}" pid="5" name="ICV">
    <vt:lpwstr>7BD3BC695160435C87C43C4746209CE0_12</vt:lpwstr>
  </property>
</Properties>
</file>